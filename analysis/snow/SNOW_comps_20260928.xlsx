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0.0&quot;x&quot;"/>
    <numFmt numFmtId="167" formatCode="0.00&quot;x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10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070C0"/>
      <sz val="11"/>
    </font>
    <font>
      <name val="Calibri"/>
      <color rgb="00000000"/>
      <sz val="9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4" fontId="8" fillId="4" borderId="0" applyAlignment="1" pivotButton="0" quotePrefix="0" xfId="0">
      <alignment horizontal="center" vertical="center" wrapText="1"/>
    </xf>
    <xf numFmtId="3" fontId="8" fillId="4" borderId="0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center" vertical="center" wrapText="1"/>
    </xf>
    <xf numFmtId="164" fontId="7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4" fontId="8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9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165" fontId="6" fillId="3" borderId="0" applyAlignment="1" pivotButton="0" quotePrefix="0" xfId="0">
      <alignment horizontal="center" vertical="center" wrapText="1"/>
    </xf>
    <xf numFmtId="166" fontId="7" fillId="4" borderId="0" applyAlignment="1" pivotButton="0" quotePrefix="0" xfId="0">
      <alignment horizontal="center" vertical="center" wrapText="1"/>
    </xf>
    <xf numFmtId="167" fontId="7" fillId="4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6" fontId="7" fillId="5" borderId="0" applyAlignment="1" pivotButton="0" quotePrefix="0" xfId="0">
      <alignment horizontal="center" vertical="center" wrapText="1"/>
    </xf>
    <xf numFmtId="167" fontId="7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comps-analysis</author>
  </authors>
  <commentList>
    <comment ref="D7" authorId="0" shapeId="0">
      <text>
        <t>收盘价。来源：Multiples.vc Public Comps (FactSet 一致预期 / Morningstar 历史财务)，数据日期 2026-09-28</t>
      </text>
    </comment>
    <comment ref="E7" authorId="0" shapeId="0">
      <text>
        <t>普通股市值。来源：Multiples.vc Public Comps (FactSet 一致预期 / Morningstar 历史财务)，数据日期 2026-09-28</t>
      </text>
    </comment>
    <comment ref="F7" authorId="0" shapeId="0">
      <text>
        <t>企业价值 = 市值 + 净债务（含数据商对经营租赁等的调整）。由数据商直接给出，非本表重算。来源：Multiples.vc Public Comps (FactSet 一致预期 / Morningstar 历史财务)，数据日期 2026-09-28</t>
      </text>
    </comment>
    <comment ref="G7" authorId="0" shapeId="0">
      <text>
        <t>LTM GAAP 总收入。来源：Multiples.vc Public Comps (FactSet 一致预期 / Morningstar 历史财务)，数据日期 2026-09-28</t>
      </text>
    </comment>
    <comment ref="H7" authorId="0" shapeId="0">
      <text>
        <t>未来十二个月 (NTM) 相对 LTM 的收入同比增速，FactSet 卖方一致预期。来源：Multiples.vc Public Comps (FactSet 一致预期 / Morningstar 历史财务)，数据日期 2026-09-28</t>
      </text>
    </comment>
    <comment ref="I7" authorId="0" shapeId="0">
      <text>
        <t>LTM 毛利润。来源：Multiples.vc Public Comps (FactSet 一致预期 / Morningstar 历史财务)，数据日期 2026-09-28</t>
      </text>
    </comment>
    <comment ref="K7" authorId="0" shapeId="0">
      <text>
        <t>LTM EBITDA（已标准化，剔除非经常性项目）。来源：Multiples.vc Public Comps (FactSet 一致预期 / Morningstar 历史财务)，数据日期 2026-09-28</t>
      </text>
    </comment>
    <comment ref="M7" authorId="0" shapeId="0">
      <text>
        <t>LTM 自由现金流 = 经营活动现金流 − 资本开支。来源：Multiples.vc Public Comps (FactSet 一致预期 / Morningstar 历史财务)，数据日期 2026-09-28</t>
      </text>
    </comment>
    <comment ref="D8" authorId="0" shapeId="0">
      <text>
        <t>收盘价。来源：Multiples.vc Public Comps (FactSet 一致预期 / Morningstar 历史财务)，数据日期 2026-09-28</t>
      </text>
    </comment>
    <comment ref="E8" authorId="0" shapeId="0">
      <text>
        <t>普通股市值。来源：Multiples.vc Public Comps (FactSet 一致预期 / Morningstar 历史财务)，数据日期 2026-09-28</t>
      </text>
    </comment>
    <comment ref="F8" authorId="0" shapeId="0">
      <text>
        <t>企业价值 = 市值 + 净债务（含数据商对经营租赁等的调整）。由数据商直接给出，非本表重算。来源：Multiples.vc Public Comps (FactSet 一致预期 / Morningstar 历史财务)，数据日期 2026-09-28</t>
      </text>
    </comment>
    <comment ref="G8" authorId="0" shapeId="0">
      <text>
        <t>LTM GAAP 总收入。来源：Multiples.vc Public Comps (FactSet 一致预期 / Morningstar 历史财务)，数据日期 2026-09-28</t>
      </text>
    </comment>
    <comment ref="H8" authorId="0" shapeId="0">
      <text>
        <t>未来十二个月 (NTM) 相对 LTM 的收入同比增速，FactSet 卖方一致预期。来源：Multiples.vc Public Comps (FactSet 一致预期 / Morningstar 历史财务)，数据日期 2026-09-28</t>
      </text>
    </comment>
    <comment ref="I8" authorId="0" shapeId="0">
      <text>
        <t>LTM 毛利润。来源：Multiples.vc Public Comps (FactSet 一致预期 / Morningstar 历史财务)，数据日期 2026-09-28</t>
      </text>
    </comment>
    <comment ref="K8" authorId="0" shapeId="0">
      <text>
        <t>LTM EBITDA（已标准化，剔除非经常性项目）。来源：Multiples.vc Public Comps (FactSet 一致预期 / Morningstar 历史财务)，数据日期 2026-09-28</t>
      </text>
    </comment>
    <comment ref="M8" authorId="0" shapeId="0">
      <text>
        <t>LTM 自由现金流 = 经营活动现金流 − 资本开支。来源：Multiples.vc Public Comps (FactSet 一致预期 / Morningstar 历史财务)，数据日期 2026-09-28</t>
      </text>
    </comment>
    <comment ref="D9" authorId="0" shapeId="0">
      <text>
        <t>收盘价。来源：Multiples.vc Public Comps (FactSet 一致预期 / Morningstar 历史财务)，数据日期 2026-09-28</t>
      </text>
    </comment>
    <comment ref="E9" authorId="0" shapeId="0">
      <text>
        <t>普通股市值。来源：Multiples.vc Public Comps (FactSet 一致预期 / Morningstar 历史财务)，数据日期 2026-09-28</t>
      </text>
    </comment>
    <comment ref="F9" authorId="0" shapeId="0">
      <text>
        <t>企业价值 = 市值 + 净债务（含数据商对经营租赁等的调整）。由数据商直接给出，非本表重算。来源：Multiples.vc Public Comps (FactSet 一致预期 / Morningstar 历史财务)，数据日期 2026-09-28</t>
      </text>
    </comment>
    <comment ref="G9" authorId="0" shapeId="0">
      <text>
        <t>LTM GAAP 总收入。来源：Multiples.vc Public Comps (FactSet 一致预期 / Morningstar 历史财务)，数据日期 2026-09-28</t>
      </text>
    </comment>
    <comment ref="H9" authorId="0" shapeId="0">
      <text>
        <t>未来十二个月 (NTM) 相对 LTM 的收入同比增速，FactSet 卖方一致预期。来源：Multiples.vc Public Comps (FactSet 一致预期 / Morningstar 历史财务)，数据日期 2026-09-28</t>
      </text>
    </comment>
    <comment ref="I9" authorId="0" shapeId="0">
      <text>
        <t>LTM 毛利润。来源：Multiples.vc Public Comps (FactSet 一致预期 / Morningstar 历史财务)，数据日期 2026-09-28</t>
      </text>
    </comment>
    <comment ref="K9" authorId="0" shapeId="0">
      <text>
        <t>LTM EBITDA（已标准化，剔除非经常性项目）。来源：Multiples.vc Public Comps (FactSet 一致预期 / Morningstar 历史财务)，数据日期 2026-09-28</t>
      </text>
    </comment>
    <comment ref="M9" authorId="0" shapeId="0">
      <text>
        <t>LTM 自由现金流 = 经营活动现金流 − 资本开支。来源：Multiples.vc Public Comps (FactSet 一致预期 / Morningstar 历史财务)，数据日期 2026-09-28</t>
      </text>
    </comment>
    <comment ref="D10" authorId="0" shapeId="0">
      <text>
        <t>收盘价。来源：Multiples.vc Public Comps (FactSet 一致预期 / Morningstar 历史财务)，数据日期 2026-09-28</t>
      </text>
    </comment>
    <comment ref="E10" authorId="0" shapeId="0">
      <text>
        <t>普通股市值。来源：Multiples.vc Public Comps (FactSet 一致预期 / Morningstar 历史财务)，数据日期 2026-09-28</t>
      </text>
    </comment>
    <comment ref="F10" authorId="0" shapeId="0">
      <text>
        <t>企业价值 = 市值 + 净债务（含数据商对经营租赁等的调整）。由数据商直接给出，非本表重算。来源：Multiples.vc Public Comps (FactSet 一致预期 / Morningstar 历史财务)，数据日期 2026-09-28</t>
      </text>
    </comment>
    <comment ref="G10" authorId="0" shapeId="0">
      <text>
        <t>LTM GAAP 总收入。来源：Multiples.vc Public Comps (FactSet 一致预期 / Morningstar 历史财务)，数据日期 2026-09-28</t>
      </text>
    </comment>
    <comment ref="H10" authorId="0" shapeId="0">
      <text>
        <t>未来十二个月 (NTM) 相对 LTM 的收入同比增速，FactSet 卖方一致预期。来源：Multiples.vc Public Comps (FactSet 一致预期 / Morningstar 历史财务)，数据日期 2026-09-28</t>
      </text>
    </comment>
    <comment ref="I10" authorId="0" shapeId="0">
      <text>
        <t>LTM 毛利润。来源：Multiples.vc Public Comps (FactSet 一致预期 / Morningstar 历史财务)，数据日期 2026-09-28</t>
      </text>
    </comment>
    <comment ref="K10" authorId="0" shapeId="0">
      <text>
        <t>LTM EBITDA（已标准化，剔除非经常性项目）。来源：Multiples.vc Public Comps (FactSet 一致预期 / Morningstar 历史财务)，数据日期 2026-09-28</t>
      </text>
    </comment>
    <comment ref="M10" authorId="0" shapeId="0">
      <text>
        <t>LTM 自由现金流 = 经营活动现金流 − 资本开支。来源：Multiples.vc Public Comps (FactSet 一致预期 / Morningstar 历史财务)，数据日期 2026-09-28</t>
      </text>
    </comment>
    <comment ref="D11" authorId="0" shapeId="0">
      <text>
        <t>收盘价。来源：Multiples.vc Public Comps (FactSet 一致预期 / Morningstar 历史财务)，数据日期 2026-09-28</t>
      </text>
    </comment>
    <comment ref="E11" authorId="0" shapeId="0">
      <text>
        <t>普通股市值。来源：Multiples.vc Public Comps (FactSet 一致预期 / Morningstar 历史财务)，数据日期 2026-09-28</t>
      </text>
    </comment>
    <comment ref="F11" authorId="0" shapeId="0">
      <text>
        <t>企业价值 = 市值 + 净债务（含数据商对经营租赁等的调整）。由数据商直接给出，非本表重算。来源：Multiples.vc Public Comps (FactSet 一致预期 / Morningstar 历史财务)，数据日期 2026-09-28</t>
      </text>
    </comment>
    <comment ref="G11" authorId="0" shapeId="0">
      <text>
        <t>LTM GAAP 总收入。来源：Multiples.vc Public Comps (FactSet 一致预期 / Morningstar 历史财务)，数据日期 2026-09-28</t>
      </text>
    </comment>
    <comment ref="H11" authorId="0" shapeId="0">
      <text>
        <t>未来十二个月 (NTM) 相对 LTM 的收入同比增速，FactSet 卖方一致预期。来源：Multiples.vc Public Comps (FactSet 一致预期 / Morningstar 历史财务)，数据日期 2026-09-28</t>
      </text>
    </comment>
    <comment ref="I11" authorId="0" shapeId="0">
      <text>
        <t>LTM 毛利润。来源：Multiples.vc Public Comps (FactSet 一致预期 / Morningstar 历史财务)，数据日期 2026-09-28</t>
      </text>
    </comment>
    <comment ref="K11" authorId="0" shapeId="0">
      <text>
        <t>LTM EBITDA（已标准化，剔除非经常性项目）。来源：Multiples.vc Public Comps (FactSet 一致预期 / Morningstar 历史财务)，数据日期 2026-09-28</t>
      </text>
    </comment>
    <comment ref="M11" authorId="0" shapeId="0">
      <text>
        <t>LTM 自由现金流 = 经营活动现金流 − 资本开支。来源：Multiples.vc Public Comps (FactSet 一致预期 / Morningstar 历史财务)，数据日期 2026-09-28</t>
      </text>
    </comment>
    <comment ref="C23" authorId="0" shapeId="0">
      <text>
        <t>EV/收入 = 企业价值 ÷ LTM 总收入。分子分母均引用上方经营指标区的硬编码输入单元格，可逐格追溯。</t>
      </text>
    </comment>
    <comment ref="G39" authorId="0" shapeId="0">
      <text>
        <t>来源：Multiples.vc Public Comps (FactSet 一致预期 / Morningstar 历史财务)，数据日期 2026-09-28 / 公司新闻稿与公开报道</t>
      </text>
    </comment>
    <comment ref="H39" authorId="0" shapeId="0">
      <text>
        <t>ARR run-rate 或 FY2025 收入（估算口径，见说明栏）</t>
      </text>
    </comment>
    <comment ref="G40" authorId="0" shapeId="0">
      <text>
        <t>来源：Multiples.vc Public Comps (FactSet 一致预期 / Morningstar 历史财务)，数据日期 2026-09-28 / 公司新闻稿与公开报道</t>
      </text>
    </comment>
    <comment ref="H40" authorId="0" shapeId="0">
      <text>
        <t>ARR run-rate 或 FY2025 收入（估算口径，见说明栏）</t>
      </text>
    </comment>
    <comment ref="G41" authorId="0" shapeId="0">
      <text>
        <t>来源：Multiples.vc Public Comps (FactSet 一致预期 / Morningstar 历史财务)，数据日期 2026-09-28 / 公司新闻稿与公开报道</t>
      </text>
    </comment>
    <comment ref="H41" authorId="0" shapeId="0">
      <text>
        <t>ARR run-rate 或 FY2025 收入（估算口径，见说明栏）</t>
      </text>
    </comment>
    <comment ref="C43" authorId="0" shapeId="0">
      <text>
        <t>Snowflake 最近财年净债务 = −$499M（净现金）。来源：Morningstar via Multiples.vc Public Comps (FactSet 一致预期 / Morningstar 历史财务)，数据日期 2026-09-28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SNOWFLAKE INC. (NYSE: SNOW) — 云数据平台可比公司分析   |   CLOUD DATA PLATFORM COMPARABLE COMPANY ANALYSIS</t>
        </is>
      </c>
    </row>
    <row r="2" ht="20" customHeight="1">
      <c r="A2" s="3" t="inlineStr">
        <is>
          <t>标的 Snowflake (SNOW)　•　可比组 MongoDB (MDB) / Elastic (ESTC) / Datadog (DDOG) / Cloudflare (NET)　•　参考组（不计入统计）Palantir (PLTR) / Databricks (私人) / Confluent—IBM 先例交易</t>
        </is>
      </c>
    </row>
    <row r="3" ht="28" customHeight="1">
      <c r="A3" s="4" t="inlineStr">
        <is>
          <t>数据截至 2026-09-28　|　金额单位：百万美元（每股价格、比率除外）　|　财务为最近十二个月 (LTM)，增速为未来十二个月 (NTM) 一致预期　|　来源：Multiples.vc Public Comps (FactSet 一致预期 / Morningstar 历史财务)，数据日期 2026-09-28</t>
        </is>
      </c>
    </row>
    <row r="5" ht="20" customHeight="1">
      <c r="A5" s="5" t="inlineStr">
        <is>
          <t>经营与财务指标   |   OPERATING &amp; FINANCIAL METRICS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34" customHeight="1">
      <c r="A6" s="6" t="inlineStr">
        <is>
          <t>公司
Company</t>
        </is>
      </c>
      <c r="B6" s="6" t="inlineStr">
        <is>
          <t>代码
Ticker</t>
        </is>
      </c>
      <c r="C6" s="6" t="inlineStr">
        <is>
          <t>分层
Tier</t>
        </is>
      </c>
      <c r="D6" s="6" t="inlineStr">
        <is>
          <t>股价
Share Price</t>
        </is>
      </c>
      <c r="E6" s="6" t="inlineStr">
        <is>
          <t>市值
Market Cap</t>
        </is>
      </c>
      <c r="F6" s="6" t="inlineStr">
        <is>
          <t>企业价值
EV</t>
        </is>
      </c>
      <c r="G6" s="6" t="inlineStr">
        <is>
          <t>LTM 收入
Revenue</t>
        </is>
      </c>
      <c r="H6" s="6" t="inlineStr">
        <is>
          <t>收入增速
NTM YoY</t>
        </is>
      </c>
      <c r="I6" s="6" t="inlineStr">
        <is>
          <t>LTM 毛利
Gross Profit</t>
        </is>
      </c>
      <c r="J6" s="6" t="inlineStr">
        <is>
          <t>毛利率
Gross Margin</t>
        </is>
      </c>
      <c r="K6" s="6" t="inlineStr">
        <is>
          <t>LTM EBITDA</t>
        </is>
      </c>
      <c r="L6" s="6" t="inlineStr">
        <is>
          <t>EBITDA 利润率
EBITDA Margin</t>
        </is>
      </c>
      <c r="M6" s="6" t="inlineStr">
        <is>
          <t>LTM 自由现金流
FCF</t>
        </is>
      </c>
      <c r="N6" s="6" t="inlineStr">
        <is>
          <t>FCF 利润率
FCF Margin</t>
        </is>
      </c>
      <c r="O6" s="6" t="inlineStr">
        <is>
          <t>Rule of 40
增速+EBITDA率</t>
        </is>
      </c>
      <c r="P6" s="6" t="inlineStr">
        <is>
          <t>Rule of 40
增速+FCF率</t>
        </is>
      </c>
    </row>
    <row r="7" ht="18" customHeight="1">
      <c r="A7" s="7" t="inlineStr">
        <is>
          <t>Snowflake</t>
        </is>
      </c>
      <c r="B7" s="8" t="inlineStr">
        <is>
          <t>SNOW</t>
        </is>
      </c>
      <c r="C7" s="9" t="inlineStr">
        <is>
          <t>标的 Target</t>
        </is>
      </c>
      <c r="D7" s="10" t="n">
        <v>335.94</v>
      </c>
      <c r="E7" s="11" t="n">
        <v>119000</v>
      </c>
      <c r="F7" s="11" t="n">
        <v>119000</v>
      </c>
      <c r="G7" s="11" t="n">
        <v>5800</v>
      </c>
      <c r="H7" s="12" t="n">
        <v>0.31</v>
      </c>
      <c r="I7" s="11" t="n">
        <v>4176</v>
      </c>
      <c r="J7" s="13">
        <f>I7/G7</f>
        <v/>
      </c>
      <c r="K7" s="11" t="n">
        <v>997</v>
      </c>
      <c r="L7" s="13">
        <f>K7/G7</f>
        <v/>
      </c>
      <c r="M7" s="11" t="n">
        <v>1300</v>
      </c>
      <c r="N7" s="13">
        <f>M7/G7</f>
        <v/>
      </c>
      <c r="O7" s="13">
        <f>H7+L7</f>
        <v/>
      </c>
      <c r="P7" s="13">
        <f>H7+N7</f>
        <v/>
      </c>
    </row>
    <row r="8" ht="18" customHeight="1">
      <c r="A8" s="14" t="inlineStr">
        <is>
          <t>MongoDB</t>
        </is>
      </c>
      <c r="B8" s="15" t="inlineStr">
        <is>
          <t>MDB</t>
        </is>
      </c>
      <c r="C8" s="16" t="inlineStr">
        <is>
          <t>核心可比 Core</t>
        </is>
      </c>
      <c r="D8" s="17" t="n">
        <v>410.44</v>
      </c>
      <c r="E8" s="18" t="n">
        <v>33000</v>
      </c>
      <c r="F8" s="18" t="n">
        <v>31000</v>
      </c>
      <c r="G8" s="18" t="n">
        <v>2800</v>
      </c>
      <c r="H8" s="19" t="n">
        <v>0.2</v>
      </c>
      <c r="I8" s="18" t="n">
        <v>2100</v>
      </c>
      <c r="J8" s="20">
        <f>I8/G8</f>
        <v/>
      </c>
      <c r="K8" s="18" t="n">
        <v>596</v>
      </c>
      <c r="L8" s="20">
        <f>K8/G8</f>
        <v/>
      </c>
      <c r="M8" s="18" t="n">
        <v>568</v>
      </c>
      <c r="N8" s="20">
        <f>M8/G8</f>
        <v/>
      </c>
      <c r="O8" s="20">
        <f>H8+L8</f>
        <v/>
      </c>
      <c r="P8" s="20">
        <f>H8+N8</f>
        <v/>
      </c>
    </row>
    <row r="9" ht="18" customHeight="1">
      <c r="A9" s="14" t="inlineStr">
        <is>
          <t>Elastic</t>
        </is>
      </c>
      <c r="B9" s="15" t="inlineStr">
        <is>
          <t>ESTC</t>
        </is>
      </c>
      <c r="C9" s="16" t="inlineStr">
        <is>
          <t>核心可比 Core</t>
        </is>
      </c>
      <c r="D9" s="17" t="n">
        <v>88.12</v>
      </c>
      <c r="E9" s="18" t="n">
        <v>9300</v>
      </c>
      <c r="F9" s="18" t="n">
        <v>8400</v>
      </c>
      <c r="G9" s="18" t="n">
        <v>1800</v>
      </c>
      <c r="H9" s="19" t="n">
        <v>0.15</v>
      </c>
      <c r="I9" s="18" t="n">
        <v>1404</v>
      </c>
      <c r="J9" s="20">
        <f>I9/G9</f>
        <v/>
      </c>
      <c r="K9" s="18" t="n">
        <v>335</v>
      </c>
      <c r="L9" s="20">
        <f>K9/G9</f>
        <v/>
      </c>
      <c r="M9" s="18" t="n">
        <v>370</v>
      </c>
      <c r="N9" s="20">
        <f>M9/G9</f>
        <v/>
      </c>
      <c r="O9" s="20">
        <f>H9+L9</f>
        <v/>
      </c>
      <c r="P9" s="20">
        <f>H9+N9</f>
        <v/>
      </c>
    </row>
    <row r="10" ht="18" customHeight="1">
      <c r="A10" s="14" t="inlineStr">
        <is>
          <t>Datadog</t>
        </is>
      </c>
      <c r="B10" s="15" t="inlineStr">
        <is>
          <t>DDOG</t>
        </is>
      </c>
      <c r="C10" s="16" t="inlineStr">
        <is>
          <t>相邻可比 Adjacent</t>
        </is>
      </c>
      <c r="D10" s="17" t="n">
        <v>268.13</v>
      </c>
      <c r="E10" s="18" t="n">
        <v>96000</v>
      </c>
      <c r="F10" s="18" t="n">
        <v>93000</v>
      </c>
      <c r="G10" s="18" t="n">
        <v>4200</v>
      </c>
      <c r="H10" s="19" t="n">
        <v>0.24</v>
      </c>
      <c r="I10" s="18" t="n">
        <v>3360</v>
      </c>
      <c r="J10" s="20">
        <f>I10/G10</f>
        <v/>
      </c>
      <c r="K10" s="18" t="n">
        <v>1100</v>
      </c>
      <c r="L10" s="20">
        <f>K10/G10</f>
        <v/>
      </c>
      <c r="M10" s="18" t="n">
        <v>1100</v>
      </c>
      <c r="N10" s="20">
        <f>M10/G10</f>
        <v/>
      </c>
      <c r="O10" s="20">
        <f>H10+L10</f>
        <v/>
      </c>
      <c r="P10" s="20">
        <f>H10+N10</f>
        <v/>
      </c>
    </row>
    <row r="11" ht="18" customHeight="1">
      <c r="A11" s="14" t="inlineStr">
        <is>
          <t>Cloudflare</t>
        </is>
      </c>
      <c r="B11" s="15" t="inlineStr">
        <is>
          <t>NET</t>
        </is>
      </c>
      <c r="C11" s="16" t="inlineStr">
        <is>
          <t>相邻可比 Adjacent</t>
        </is>
      </c>
      <c r="D11" s="17" t="n">
        <v>349.02</v>
      </c>
      <c r="E11" s="18" t="n">
        <v>124000</v>
      </c>
      <c r="F11" s="18" t="n">
        <v>124000</v>
      </c>
      <c r="G11" s="18" t="n">
        <v>2700</v>
      </c>
      <c r="H11" s="19" t="n">
        <v>0.29</v>
      </c>
      <c r="I11" s="18" t="n">
        <v>1998</v>
      </c>
      <c r="J11" s="20">
        <f>I11/G11</f>
        <v/>
      </c>
      <c r="K11" s="18" t="n">
        <v>645</v>
      </c>
      <c r="L11" s="20">
        <f>K11/G11</f>
        <v/>
      </c>
      <c r="M11" s="18" t="n">
        <v>330</v>
      </c>
      <c r="N11" s="20">
        <f>M11/G11</f>
        <v/>
      </c>
      <c r="O11" s="20">
        <f>H11+L11</f>
        <v/>
      </c>
      <c r="P11" s="20">
        <f>H11+N11</f>
        <v/>
      </c>
    </row>
    <row r="13" ht="17" customHeight="1">
      <c r="A13" s="21" t="inlineStr">
        <is>
          <t>最大值 Maximum</t>
        </is>
      </c>
      <c r="B13" s="22" t="n"/>
      <c r="C13" s="23" t="inlineStr">
        <is>
          <t>可比组 n=4（不含 SNOW）</t>
        </is>
      </c>
      <c r="D13" s="22" t="n"/>
      <c r="E13" s="22" t="n"/>
      <c r="F13" s="22" t="n"/>
      <c r="G13" s="22" t="n"/>
      <c r="H13" s="24">
        <f>MAX(H8:H11)</f>
        <v/>
      </c>
      <c r="I13" s="22" t="n"/>
      <c r="J13" s="24">
        <f>MAX(J8:J11)</f>
        <v/>
      </c>
      <c r="K13" s="22" t="n"/>
      <c r="L13" s="24">
        <f>MAX(L8:L11)</f>
        <v/>
      </c>
      <c r="M13" s="22" t="n"/>
      <c r="N13" s="24">
        <f>MAX(N8:N11)</f>
        <v/>
      </c>
      <c r="O13" s="24">
        <f>MAX(O8:O11)</f>
        <v/>
      </c>
      <c r="P13" s="24">
        <f>MAX(P8:P11)</f>
        <v/>
      </c>
    </row>
    <row r="14" ht="17" customHeight="1">
      <c r="A14" s="21" t="inlineStr">
        <is>
          <t>75 分位 75th Percentile</t>
        </is>
      </c>
      <c r="B14" s="22" t="n"/>
      <c r="C14" s="23" t="inlineStr">
        <is>
          <t>可比组 n=4（不含 SNOW）</t>
        </is>
      </c>
      <c r="D14" s="22" t="n"/>
      <c r="E14" s="22" t="n"/>
      <c r="F14" s="22" t="n"/>
      <c r="G14" s="22" t="n"/>
      <c r="H14" s="24">
        <f>QUARTILE(H8:H11,3)</f>
        <v/>
      </c>
      <c r="I14" s="22" t="n"/>
      <c r="J14" s="24">
        <f>QUARTILE(J8:J11,3)</f>
        <v/>
      </c>
      <c r="K14" s="22" t="n"/>
      <c r="L14" s="24">
        <f>QUARTILE(L8:L11,3)</f>
        <v/>
      </c>
      <c r="M14" s="22" t="n"/>
      <c r="N14" s="24">
        <f>QUARTILE(N8:N11,3)</f>
        <v/>
      </c>
      <c r="O14" s="24">
        <f>QUARTILE(O8:O11,3)</f>
        <v/>
      </c>
      <c r="P14" s="24">
        <f>QUARTILE(P8:P11,3)</f>
        <v/>
      </c>
    </row>
    <row r="15" ht="17" customHeight="1">
      <c r="A15" s="21" t="inlineStr">
        <is>
          <t>中位数 Median</t>
        </is>
      </c>
      <c r="B15" s="22" t="n"/>
      <c r="C15" s="23" t="inlineStr">
        <is>
          <t>可比组 n=4（不含 SNOW）</t>
        </is>
      </c>
      <c r="D15" s="22" t="n"/>
      <c r="E15" s="22" t="n"/>
      <c r="F15" s="22" t="n"/>
      <c r="G15" s="22" t="n"/>
      <c r="H15" s="24">
        <f>MEDIAN(H8:H11)</f>
        <v/>
      </c>
      <c r="I15" s="22" t="n"/>
      <c r="J15" s="24">
        <f>MEDIAN(J8:J11)</f>
        <v/>
      </c>
      <c r="K15" s="22" t="n"/>
      <c r="L15" s="24">
        <f>MEDIAN(L8:L11)</f>
        <v/>
      </c>
      <c r="M15" s="22" t="n"/>
      <c r="N15" s="24">
        <f>MEDIAN(N8:N11)</f>
        <v/>
      </c>
      <c r="O15" s="24">
        <f>MEDIAN(O8:O11)</f>
        <v/>
      </c>
      <c r="P15" s="24">
        <f>MEDIAN(P8:P11)</f>
        <v/>
      </c>
    </row>
    <row r="16" ht="17" customHeight="1">
      <c r="A16" s="21" t="inlineStr">
        <is>
          <t>25 分位 25th Percentile</t>
        </is>
      </c>
      <c r="B16" s="22" t="n"/>
      <c r="C16" s="23" t="inlineStr">
        <is>
          <t>可比组 n=4（不含 SNOW）</t>
        </is>
      </c>
      <c r="D16" s="22" t="n"/>
      <c r="E16" s="22" t="n"/>
      <c r="F16" s="22" t="n"/>
      <c r="G16" s="22" t="n"/>
      <c r="H16" s="24">
        <f>QUARTILE(H8:H11,1)</f>
        <v/>
      </c>
      <c r="I16" s="22" t="n"/>
      <c r="J16" s="24">
        <f>QUARTILE(J8:J11,1)</f>
        <v/>
      </c>
      <c r="K16" s="22" t="n"/>
      <c r="L16" s="24">
        <f>QUARTILE(L8:L11,1)</f>
        <v/>
      </c>
      <c r="M16" s="22" t="n"/>
      <c r="N16" s="24">
        <f>QUARTILE(N8:N11,1)</f>
        <v/>
      </c>
      <c r="O16" s="24">
        <f>QUARTILE(O8:O11,1)</f>
        <v/>
      </c>
      <c r="P16" s="24">
        <f>QUARTILE(P8:P11,1)</f>
        <v/>
      </c>
    </row>
    <row r="17" ht="17" customHeight="1">
      <c r="A17" s="21" t="inlineStr">
        <is>
          <t>最小值 Minimum</t>
        </is>
      </c>
      <c r="B17" s="22" t="n"/>
      <c r="C17" s="23" t="inlineStr">
        <is>
          <t>可比组 n=4（不含 SNOW）</t>
        </is>
      </c>
      <c r="D17" s="22" t="n"/>
      <c r="E17" s="22" t="n"/>
      <c r="F17" s="22" t="n"/>
      <c r="G17" s="22" t="n"/>
      <c r="H17" s="24">
        <f>MIN(H8:H11)</f>
        <v/>
      </c>
      <c r="I17" s="22" t="n"/>
      <c r="J17" s="24">
        <f>MIN(J8:J11)</f>
        <v/>
      </c>
      <c r="K17" s="22" t="n"/>
      <c r="L17" s="24">
        <f>MIN(L8:L11)</f>
        <v/>
      </c>
      <c r="M17" s="22" t="n"/>
      <c r="N17" s="24">
        <f>MIN(N8:N11)</f>
        <v/>
      </c>
      <c r="O17" s="24">
        <f>MIN(O8:O11)</f>
        <v/>
      </c>
      <c r="P17" s="24">
        <f>MIN(P8:P11)</f>
        <v/>
      </c>
    </row>
    <row r="19">
      <c r="A19" s="25" t="inlineStr">
        <is>
          <t>Snowflake 相对可比组中位数溢价 / (折价)</t>
        </is>
      </c>
      <c r="B19" s="26" t="n"/>
      <c r="C19" s="26" t="n"/>
      <c r="D19" s="26" t="n"/>
      <c r="E19" s="26" t="n"/>
      <c r="F19" s="26" t="n"/>
      <c r="G19" s="26" t="n"/>
      <c r="H19" s="27">
        <f>H7-H15</f>
        <v/>
      </c>
      <c r="I19" s="26" t="n"/>
      <c r="J19" s="27">
        <f>J7-J15</f>
        <v/>
      </c>
      <c r="K19" s="26" t="n"/>
      <c r="L19" s="27">
        <f>L7-L15</f>
        <v/>
      </c>
      <c r="M19" s="26" t="n"/>
      <c r="N19" s="27">
        <f>N7-N15</f>
        <v/>
      </c>
      <c r="O19" s="27">
        <f>O7-O15</f>
        <v/>
      </c>
      <c r="P19" s="27">
        <f>P7-P15</f>
        <v/>
      </c>
    </row>
    <row r="21" ht="20" customHeight="1">
      <c r="A21" s="5" t="inlineStr">
        <is>
          <t>估值倍数   |   VALUATION MULTIPLES</t>
        </is>
      </c>
      <c r="B21" s="2" t="n"/>
      <c r="C21" s="2" t="n"/>
      <c r="D21" s="2" t="n"/>
      <c r="E21" s="2" t="n"/>
      <c r="F21" s="2" t="n"/>
      <c r="G21" s="2" t="n"/>
    </row>
    <row r="22" ht="34" customHeight="1">
      <c r="A22" s="6" t="inlineStr">
        <is>
          <t>公司
Company</t>
        </is>
      </c>
      <c r="B22" s="6" t="inlineStr">
        <is>
          <t>代码
Ticker</t>
        </is>
      </c>
      <c r="C22" s="6" t="inlineStr">
        <is>
          <t>EV / 收入
EV/Revenue</t>
        </is>
      </c>
      <c r="D22" s="6" t="inlineStr">
        <is>
          <t>EV / 毛利
EV/Gross Profit</t>
        </is>
      </c>
      <c r="E22" s="6" t="inlineStr">
        <is>
          <t>EV / EBITDA</t>
        </is>
      </c>
      <c r="F22" s="6" t="inlineStr">
        <is>
          <t>EV / 自由现金流
EV/FCF</t>
        </is>
      </c>
      <c r="G22" s="6" t="inlineStr">
        <is>
          <t>增速调整后 EV/收入
EV/Rev ÷ 增速</t>
        </is>
      </c>
    </row>
    <row r="23">
      <c r="A23" s="7" t="inlineStr">
        <is>
          <t>Snowflake</t>
        </is>
      </c>
      <c r="B23" s="8" t="inlineStr">
        <is>
          <t>SNOW</t>
        </is>
      </c>
      <c r="C23" s="28">
        <f>F7/G7</f>
        <v/>
      </c>
      <c r="D23" s="28">
        <f>F7/I7</f>
        <v/>
      </c>
      <c r="E23" s="28">
        <f>F7/K7</f>
        <v/>
      </c>
      <c r="F23" s="28">
        <f>F7/M7</f>
        <v/>
      </c>
      <c r="G23" s="29">
        <f>C23/H7</f>
        <v/>
      </c>
    </row>
    <row r="24">
      <c r="A24" s="14" t="inlineStr">
        <is>
          <t>MongoDB</t>
        </is>
      </c>
      <c r="B24" s="15" t="inlineStr">
        <is>
          <t>MDB</t>
        </is>
      </c>
      <c r="C24" s="30">
        <f>F8/G8</f>
        <v/>
      </c>
      <c r="D24" s="30">
        <f>F8/I8</f>
        <v/>
      </c>
      <c r="E24" s="30">
        <f>F8/K8</f>
        <v/>
      </c>
      <c r="F24" s="30">
        <f>F8/M8</f>
        <v/>
      </c>
      <c r="G24" s="31">
        <f>C24/H8</f>
        <v/>
      </c>
    </row>
    <row r="25">
      <c r="A25" s="14" t="inlineStr">
        <is>
          <t>Elastic</t>
        </is>
      </c>
      <c r="B25" s="15" t="inlineStr">
        <is>
          <t>ESTC</t>
        </is>
      </c>
      <c r="C25" s="30">
        <f>F9/G9</f>
        <v/>
      </c>
      <c r="D25" s="30">
        <f>F9/I9</f>
        <v/>
      </c>
      <c r="E25" s="30">
        <f>F9/K9</f>
        <v/>
      </c>
      <c r="F25" s="30">
        <f>F9/M9</f>
        <v/>
      </c>
      <c r="G25" s="31">
        <f>C25/H9</f>
        <v/>
      </c>
    </row>
    <row r="26">
      <c r="A26" s="14" t="inlineStr">
        <is>
          <t>Datadog</t>
        </is>
      </c>
      <c r="B26" s="15" t="inlineStr">
        <is>
          <t>DDOG</t>
        </is>
      </c>
      <c r="C26" s="30">
        <f>F10/G10</f>
        <v/>
      </c>
      <c r="D26" s="30">
        <f>F10/I10</f>
        <v/>
      </c>
      <c r="E26" s="30">
        <f>F10/K10</f>
        <v/>
      </c>
      <c r="F26" s="30">
        <f>F10/M10</f>
        <v/>
      </c>
      <c r="G26" s="31">
        <f>C26/H10</f>
        <v/>
      </c>
    </row>
    <row r="27">
      <c r="A27" s="14" t="inlineStr">
        <is>
          <t>Cloudflare</t>
        </is>
      </c>
      <c r="B27" s="15" t="inlineStr">
        <is>
          <t>NET</t>
        </is>
      </c>
      <c r="C27" s="30">
        <f>F11/G11</f>
        <v/>
      </c>
      <c r="D27" s="30">
        <f>F11/I11</f>
        <v/>
      </c>
      <c r="E27" s="30">
        <f>F11/K11</f>
        <v/>
      </c>
      <c r="F27" s="30">
        <f>F11/M11</f>
        <v/>
      </c>
      <c r="G27" s="31">
        <f>C27/H11</f>
        <v/>
      </c>
    </row>
    <row r="29" ht="17" customHeight="1">
      <c r="A29" s="21" t="inlineStr">
        <is>
          <t>最大值 Maximum</t>
        </is>
      </c>
      <c r="B29" s="23" t="inlineStr">
        <is>
          <t>n=4</t>
        </is>
      </c>
      <c r="C29" s="32">
        <f>MAX(C24:C27)</f>
        <v/>
      </c>
      <c r="D29" s="32">
        <f>MAX(D24:D27)</f>
        <v/>
      </c>
      <c r="E29" s="32">
        <f>MAX(E24:E27)</f>
        <v/>
      </c>
      <c r="F29" s="32">
        <f>MAX(F24:F27)</f>
        <v/>
      </c>
      <c r="G29" s="33">
        <f>MAX(G24:G27)</f>
        <v/>
      </c>
    </row>
    <row r="30" ht="17" customHeight="1">
      <c r="A30" s="21" t="inlineStr">
        <is>
          <t>75 分位 75th Percentile</t>
        </is>
      </c>
      <c r="B30" s="23" t="inlineStr">
        <is>
          <t>n=4</t>
        </is>
      </c>
      <c r="C30" s="32">
        <f>QUARTILE(C24:C27,3)</f>
        <v/>
      </c>
      <c r="D30" s="32">
        <f>QUARTILE(D24:D27,3)</f>
        <v/>
      </c>
      <c r="E30" s="32">
        <f>QUARTILE(E24:E27,3)</f>
        <v/>
      </c>
      <c r="F30" s="32">
        <f>QUARTILE(F24:F27,3)</f>
        <v/>
      </c>
      <c r="G30" s="33">
        <f>QUARTILE(G24:G27,3)</f>
        <v/>
      </c>
    </row>
    <row r="31" ht="17" customHeight="1">
      <c r="A31" s="21" t="inlineStr">
        <is>
          <t>中位数 Median</t>
        </is>
      </c>
      <c r="B31" s="23" t="inlineStr">
        <is>
          <t>n=4</t>
        </is>
      </c>
      <c r="C31" s="32">
        <f>MEDIAN(C24:C27)</f>
        <v/>
      </c>
      <c r="D31" s="32">
        <f>MEDIAN(D24:D27)</f>
        <v/>
      </c>
      <c r="E31" s="32">
        <f>MEDIAN(E24:E27)</f>
        <v/>
      </c>
      <c r="F31" s="32">
        <f>MEDIAN(F24:F27)</f>
        <v/>
      </c>
      <c r="G31" s="33">
        <f>MEDIAN(G24:G27)</f>
        <v/>
      </c>
    </row>
    <row r="32" ht="17" customHeight="1">
      <c r="A32" s="21" t="inlineStr">
        <is>
          <t>25 分位 25th Percentile</t>
        </is>
      </c>
      <c r="B32" s="23" t="inlineStr">
        <is>
          <t>n=4</t>
        </is>
      </c>
      <c r="C32" s="32">
        <f>QUARTILE(C24:C27,1)</f>
        <v/>
      </c>
      <c r="D32" s="32">
        <f>QUARTILE(D24:D27,1)</f>
        <v/>
      </c>
      <c r="E32" s="32">
        <f>QUARTILE(E24:E27,1)</f>
        <v/>
      </c>
      <c r="F32" s="32">
        <f>QUARTILE(F24:F27,1)</f>
        <v/>
      </c>
      <c r="G32" s="33">
        <f>QUARTILE(G24:G27,1)</f>
        <v/>
      </c>
    </row>
    <row r="33" ht="17" customHeight="1">
      <c r="A33" s="21" t="inlineStr">
        <is>
          <t>最小值 Minimum</t>
        </is>
      </c>
      <c r="B33" s="23" t="inlineStr">
        <is>
          <t>n=4</t>
        </is>
      </c>
      <c r="C33" s="32">
        <f>MIN(C24:C27)</f>
        <v/>
      </c>
      <c r="D33" s="32">
        <f>MIN(D24:D27)</f>
        <v/>
      </c>
      <c r="E33" s="32">
        <f>MIN(E24:E27)</f>
        <v/>
      </c>
      <c r="F33" s="32">
        <f>MIN(F24:F27)</f>
        <v/>
      </c>
      <c r="G33" s="33">
        <f>MIN(G24:G27)</f>
        <v/>
      </c>
    </row>
    <row r="35">
      <c r="A35" s="25" t="inlineStr">
        <is>
          <t>Snowflake 相对可比组中位数溢价 / (折价)</t>
        </is>
      </c>
      <c r="B35" s="26" t="n"/>
      <c r="C35" s="27">
        <f>C23/C31-1</f>
        <v/>
      </c>
      <c r="D35" s="27">
        <f>D23/D31-1</f>
        <v/>
      </c>
      <c r="E35" s="27">
        <f>E23/E31-1</f>
        <v/>
      </c>
      <c r="F35" s="27">
        <f>F23/F31-1</f>
        <v/>
      </c>
      <c r="G35" s="27">
        <f>G23/G31-1</f>
        <v/>
      </c>
    </row>
    <row r="37" ht="20" customHeight="1">
      <c r="A37" s="5" t="inlineStr">
        <is>
          <t>参考组（不参与统计分析）  |   REFERENCE SET — EXCLUDED FROM STATISTICS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32" customHeight="1">
      <c r="A38" s="6" t="inlineStr">
        <is>
          <t>公司</t>
        </is>
      </c>
      <c r="B38" s="6" t="inlineStr">
        <is>
          <t>代码</t>
        </is>
      </c>
      <c r="C38" s="6" t="inlineStr">
        <is>
          <t>剔除原因 / 说明</t>
        </is>
      </c>
      <c r="G38" s="6" t="inlineStr">
        <is>
          <t>企业价值 EV</t>
        </is>
      </c>
      <c r="H38" s="6" t="inlineStr">
        <is>
          <t>收入 / ARR</t>
        </is>
      </c>
      <c r="I38" s="6" t="inlineStr">
        <is>
          <t>增速 YoY</t>
        </is>
      </c>
      <c r="J38" s="6" t="inlineStr">
        <is>
          <t>EV/收入</t>
        </is>
      </c>
      <c r="K38" s="6" t="inlineStr">
        <is>
          <t>EV/EBITDA</t>
        </is>
      </c>
      <c r="L38" s="6" t="inlineStr">
        <is>
          <t>Rule of 40</t>
        </is>
      </c>
    </row>
    <row r="39" ht="46" customHeight="1">
      <c r="A39" s="14" t="inlineStr">
        <is>
          <t>Palantir</t>
        </is>
      </c>
      <c r="B39" s="15" t="inlineStr">
        <is>
          <t>PLTR</t>
        </is>
      </c>
      <c r="C39" s="34" t="inlineStr">
        <is>
          <t>AI 分析与决策平台，政府/国防敞口大、服务交付占比高。增速 55%、EBITDA 率 60% 均为组内极端值，纳入会把 75 分位拉到失真水平。仅作估值上限锚点。</t>
        </is>
      </c>
      <c r="G39" s="18" t="n">
        <v>447000</v>
      </c>
      <c r="H39" s="18" t="n">
        <v>7200</v>
      </c>
      <c r="I39" s="19" t="n">
        <v>0.55</v>
      </c>
      <c r="J39" s="30" t="n">
        <v>62.08333333333334</v>
      </c>
      <c r="K39" s="30" t="n">
        <v>103.953488372093</v>
      </c>
      <c r="L39" s="20" t="n">
        <v>1.15</v>
      </c>
    </row>
    <row r="40" ht="46" customHeight="1">
      <c r="A40" s="14" t="inlineStr">
        <is>
          <t>Databricks</t>
        </is>
      </c>
      <c r="B40" s="15" t="inlineStr">
        <is>
          <t>私人</t>
        </is>
      </c>
      <c r="C40" s="34" t="inlineStr">
        <is>
          <t>Snowflake 最直接竞争者，尚未上市、无市场交易 EV。约 1,900 亿美元为 2026-08 融资轮投后估值；收入口径为 ARR run-rate，与上市公司 GAAP 收入不可直接比较。</t>
        </is>
      </c>
      <c r="G40" s="18" t="n">
        <v>190000</v>
      </c>
      <c r="H40" s="18" t="n">
        <v>7000</v>
      </c>
      <c r="I40" s="19" t="n">
        <v>0.8</v>
      </c>
      <c r="J40" s="30" t="n">
        <v>27.14285714285714</v>
      </c>
      <c r="K40" s="35" t="inlineStr">
        <is>
          <t>n/a</t>
        </is>
      </c>
      <c r="L40" s="35" t="inlineStr">
        <is>
          <t>n/a</t>
        </is>
      </c>
    </row>
    <row r="41" ht="46" customHeight="1">
      <c r="A41" s="14" t="inlineStr">
        <is>
          <t>Confluent</t>
        </is>
      </c>
      <c r="B41" s="15" t="inlineStr">
        <is>
          <t>CFLT</t>
        </is>
      </c>
      <c r="C41" s="34" t="inlineStr">
        <is>
          <t>控制权交易先例：IBM 2025-12-08 宣布、2026-03-17 完成收购（$31/股现金，EV 约 110 亿美元）。已退市，不构成交易可比。收入为 FY2025 估算口径（披露订阅收入约 11.14 亿美元）。</t>
        </is>
      </c>
      <c r="G41" s="18" t="n">
        <v>11000</v>
      </c>
      <c r="H41" s="18" t="n">
        <v>1250</v>
      </c>
      <c r="I41" s="19" t="n">
        <v>0.21</v>
      </c>
      <c r="J41" s="30" t="n">
        <v>8.800000000000001</v>
      </c>
      <c r="K41" s="35" t="inlineStr">
        <is>
          <t>n/a</t>
        </is>
      </c>
      <c r="L41" s="35" t="inlineStr">
        <is>
          <t>n/a</t>
        </is>
      </c>
    </row>
    <row r="42" ht="20" customHeight="1">
      <c r="A42" s="5" t="inlineStr">
        <is>
          <t>隐含估值测算   |   IMPLIED VALUATION FOR SNOWFLAKE</t>
        </is>
      </c>
      <c r="B42" s="2" t="n"/>
      <c r="C42" s="2" t="n"/>
      <c r="D42" s="2" t="n"/>
      <c r="E42" s="2" t="n"/>
      <c r="F42" s="2" t="n"/>
    </row>
    <row r="43">
      <c r="A43" s="36" t="inlineStr">
        <is>
          <t>输入：净现金（百万美元）</t>
        </is>
      </c>
      <c r="C43" s="18" t="n">
        <v>499</v>
      </c>
      <c r="D43" s="34" t="inlineStr">
        <is>
          <t>隐含流通股数 = E7 ÷ D7</t>
        </is>
      </c>
    </row>
    <row r="44" ht="32" customHeight="1">
      <c r="A44" s="6" t="inlineStr">
        <is>
          <t>估值锚 Valuation Anchor</t>
        </is>
      </c>
      <c r="B44" s="6" t="inlineStr">
        <is>
          <t>倍数
Multiple</t>
        </is>
      </c>
      <c r="C44" s="6" t="inlineStr">
        <is>
          <t>隐含 EV
Implied EV</t>
        </is>
      </c>
      <c r="D44" s="6" t="inlineStr">
        <is>
          <t>隐含股权价值
Implied Equity</t>
        </is>
      </c>
      <c r="E44" s="6" t="inlineStr">
        <is>
          <t>隐含股价
Implied Price ($)</t>
        </is>
      </c>
      <c r="F44" s="6" t="inlineStr">
        <is>
          <t>相对现价
vs Current</t>
        </is>
      </c>
    </row>
    <row r="45">
      <c r="A45" s="14" t="inlineStr">
        <is>
          <t>可比组 25 分位 EV/收入</t>
        </is>
      </c>
      <c r="B45" s="30">
        <f>C32</f>
        <v/>
      </c>
      <c r="C45" s="37">
        <f>B45*$G$7</f>
        <v/>
      </c>
      <c r="D45" s="37">
        <f>C45+$C$43</f>
        <v/>
      </c>
      <c r="E45" s="38">
        <f>D45/($E$7/$D$7)</f>
        <v/>
      </c>
      <c r="F45" s="39">
        <f>E45/$D$7-1</f>
        <v/>
      </c>
    </row>
    <row r="46">
      <c r="A46" s="14" t="inlineStr">
        <is>
          <t>可比组 中位数 EV/收入</t>
        </is>
      </c>
      <c r="B46" s="30">
        <f>C31</f>
        <v/>
      </c>
      <c r="C46" s="37">
        <f>B46*$G$7</f>
        <v/>
      </c>
      <c r="D46" s="37">
        <f>C46+$C$43</f>
        <v/>
      </c>
      <c r="E46" s="38">
        <f>D46/($E$7/$D$7)</f>
        <v/>
      </c>
      <c r="F46" s="39">
        <f>E46/$D$7-1</f>
        <v/>
      </c>
    </row>
    <row r="47">
      <c r="A47" s="14" t="inlineStr">
        <is>
          <t>可比组 75 分位 EV/收入</t>
        </is>
      </c>
      <c r="B47" s="30">
        <f>C30</f>
        <v/>
      </c>
      <c r="C47" s="37">
        <f>B47*$G$7</f>
        <v/>
      </c>
      <c r="D47" s="37">
        <f>C47+$C$43</f>
        <v/>
      </c>
      <c r="E47" s="38">
        <f>D47/($E$7/$D$7)</f>
        <v/>
      </c>
      <c r="F47" s="39">
        <f>E47/$D$7-1</f>
        <v/>
      </c>
    </row>
    <row r="48">
      <c r="A48" s="14" t="inlineStr">
        <is>
          <t>可比组 中位数 EV/毛利</t>
        </is>
      </c>
      <c r="B48" s="30">
        <f>D31</f>
        <v/>
      </c>
      <c r="C48" s="37">
        <f>B48*$I$7</f>
        <v/>
      </c>
      <c r="D48" s="37">
        <f>C48+$C$43</f>
        <v/>
      </c>
      <c r="E48" s="38">
        <f>D48/($E$7/$D$7)</f>
        <v/>
      </c>
      <c r="F48" s="39">
        <f>E48/$D$7-1</f>
        <v/>
      </c>
    </row>
    <row r="49">
      <c r="A49" s="14" t="inlineStr">
        <is>
          <t>可比组 中位数 EV/FCF</t>
        </is>
      </c>
      <c r="B49" s="30">
        <f>F31</f>
        <v/>
      </c>
      <c r="C49" s="37">
        <f>B49*$M$7</f>
        <v/>
      </c>
      <c r="D49" s="37">
        <f>C49+$C$43</f>
        <v/>
      </c>
      <c r="E49" s="38">
        <f>D49/($E$7/$D$7)</f>
        <v/>
      </c>
      <c r="F49" s="39">
        <f>E49/$D$7-1</f>
        <v/>
      </c>
    </row>
    <row r="50">
      <c r="A50" s="14" t="inlineStr">
        <is>
          <t>可比组 中位数 增速调整倍数 × SNOW 增速</t>
        </is>
      </c>
      <c r="B50" s="30">
        <f>G31*$H$7</f>
        <v/>
      </c>
      <c r="C50" s="37">
        <f>B50*$G$7</f>
        <v/>
      </c>
      <c r="D50" s="37">
        <f>C50+$C$43</f>
        <v/>
      </c>
      <c r="E50" s="38">
        <f>D50/($E$7/$D$7)</f>
        <v/>
      </c>
      <c r="F50" s="39">
        <f>E50/$D$7-1</f>
        <v/>
      </c>
    </row>
    <row r="52" ht="32" customHeight="1">
      <c r="A52" s="34" t="inlineStr">
        <is>
          <t>注：隐含估值仅按交易倍数机械推算，未考虑控制权溢价、成长性差异与商业模式差异。可比组内部离散度极高（EV/收入 4.7x–45.9x），中位数锚定的绝对价格参考意义有限，应优先参考增速调整后的相对定位。</t>
        </is>
      </c>
    </row>
  </sheetData>
  <mergeCells count="8">
    <mergeCell ref="C40:F40"/>
    <mergeCell ref="A52:F52"/>
    <mergeCell ref="C39:F39"/>
    <mergeCell ref="A1:P1"/>
    <mergeCell ref="C38:F38"/>
    <mergeCell ref="A3:P3"/>
    <mergeCell ref="C41:F4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2" customHeight="1">
      <c r="A1" s="40" t="inlineStr">
        <is>
          <t>方法说明、数据来源与局限性   |   METHODOLOGY, SOURCES &amp; LIMITATIONS</t>
        </is>
      </c>
    </row>
    <row r="3" ht="30" customHeight="1">
      <c r="A3" s="14" t="inlineStr">
        <is>
          <t>分析目的</t>
        </is>
      </c>
      <c r="B3" s="3" t="inlineStr">
        <is>
          <t>以 Snowflake (SNOW) 为标的，在“云数据平台 / 数据基础设施”赛道建立交易可比倍数框架，回答三个问题：（1）SNOW 相对同业是贵还是便宜；（2）估值差异来自基本面还是叙事；（3）隐含的价格区间在哪里。</t>
        </is>
      </c>
    </row>
    <row r="4" ht="30" customHeight="1">
      <c r="A4" s="14" t="inlineStr">
        <is>
          <t>可比组选择</t>
        </is>
      </c>
      <c r="B4" s="3" t="inlineStr">
        <is>
          <t>核心可比 = MongoDB (MDB)、Elastic (ESTC)：均为云平台化的“数据层”软件，订阅/消费型收入占比高。相邻可比 = Datadog (DDOG)、Cloudflare (NET)：数据/AI 基础设施，同为消费驱动的高毛利云软件，但不是 Snowflake 的直接替代者。两者共同构成 n=4 的统计样本。</t>
        </is>
      </c>
    </row>
    <row r="5" ht="30" customHeight="1">
      <c r="A5" s="14" t="inlineStr">
        <is>
          <t>为何剔除 Palantir</t>
        </is>
      </c>
      <c r="B5" s="3" t="inlineStr">
        <is>
          <t>PLTR 计入大量政府/国防合约与服务交付，增速 55%、EBITDA 率 60% 均为极端值，纳入会把 75 分位拉到失真水平，无法为 SNOW 提供有效锚点。放在参考组，只作估值上限对照。</t>
        </is>
      </c>
    </row>
    <row r="6" ht="30" customHeight="1">
      <c r="A6" s="14" t="inlineStr">
        <is>
          <t>为何剔除 Databricks</t>
        </is>
      </c>
      <c r="B6" s="3" t="inlineStr">
        <is>
          <t>尚未上市，无市场交易 EV。约 1,900 亿美元来自 2026-08 融资轮的投后定价，且收入口径为 ARR run-rate，与上市公司 GAAP 收入不可直接比较。</t>
        </is>
      </c>
    </row>
    <row r="7" ht="30" customHeight="1">
      <c r="A7" s="14" t="inlineStr">
        <is>
          <t>为何剔除超大云厂商</t>
        </is>
      </c>
      <c r="B7" s="3" t="inlineStr">
        <is>
          <t>AWS Redshift、Microsoft Fabric/Synapse、Google BigQuery 均为超大规模云厂商的内部产品线，收入不单独披露、缺少分部利润率，无法计算有效的 EV 倍数。</t>
        </is>
      </c>
    </row>
    <row r="8" ht="30" customHeight="1">
      <c r="A8" s="14" t="inlineStr">
        <is>
          <t>Confluent 的处理</t>
        </is>
      </c>
      <c r="B8" s="3" t="inlineStr">
        <is>
          <t>IBM 已于 2026-03-17 完成收购（$31/股现金，EV 约 110 亿美元），CFLT 已退市，不能作为交易可比；仅作为本赛道的控制权交易先例（含控制权溢价）参考。</t>
        </is>
      </c>
    </row>
    <row r="9" ht="30" customHeight="1">
      <c r="A9" s="14" t="inlineStr">
        <is>
          <t>会计口径</t>
        </is>
      </c>
      <c r="B9" s="3" t="inlineStr">
        <is>
          <t>财务均采用数据商标准化口径（剔除一次性项目）。各公司财年结束月份不同（SNOW/MDB 为 1 月，ESTC 为 4 月，DDOG/NET 为 12 月），因此倍数统一使用最近十二个月 (LTM) 与未来十二个月 (NTM) 口径，以消除季节性错配。</t>
        </is>
      </c>
    </row>
    <row r="10" ht="30" customHeight="1">
      <c r="A10" s="14" t="inlineStr">
        <is>
          <t>Rule of 40 定义</t>
        </is>
      </c>
      <c r="B10" s="3" t="inlineStr">
        <is>
          <t>提供两种口径：① 收入增速 + EBITDA 利润率；② 收入增速 + FCF 利润率。增速统一取 NTM 一致预期，利润率取 LTM 实际值。SNOW 的 GAAP 利润率受股权激励影响较大，FCF 口径更能反映其真实现金创造能力，因此对 SNOW 应两个口径同时看。</t>
        </is>
      </c>
    </row>
    <row r="11" ht="30" customHeight="1">
      <c r="A11" s="14" t="inlineStr">
        <is>
          <t>EV 计算</t>
        </is>
      </c>
      <c r="B11" s="3" t="inlineStr">
        <is>
          <t>EV = 市值 + 净债务（含数据商对经营租赁等的调整），由数据商按统一方法论直接给出，而非本表重算，以保证同业可比。所有硬编码输入均为蓝色字体并附单元格批注。</t>
        </is>
      </c>
    </row>
    <row r="12" ht="30" customHeight="1">
      <c r="A12" s="14" t="inlineStr">
        <is>
          <t>增速调整倍数</t>
        </is>
      </c>
      <c r="B12" s="3" t="inlineStr">
        <is>
          <t>EV/收入 ÷ 收入增速百分点。用于剥离成长性差异后横向比较估值水平，含义为“每 1 个百分点增速所付出的 EV/收入倍数”，数值越低代表单位增长越便宜。</t>
        </is>
      </c>
    </row>
    <row r="13" ht="30" customHeight="1">
      <c r="A13" s="14" t="inlineStr">
        <is>
          <t>数据来源</t>
        </is>
      </c>
      <c r="B13" s="3" t="inlineStr">
        <is>
          <t>全部财务与估值数据来自 Multiples.vc Public Comps 数据库，底层为 FactSet（一致预期）与 Morningstar（历史财务），数据日期 2026-09-28。Confluent 与 Databricks 数据来自公司新闻稿与公开报道。</t>
        </is>
      </c>
    </row>
    <row r="14" ht="30" customHeight="1">
      <c r="A14" s="14" t="inlineStr">
        <is>
          <t>精度说明</t>
        </is>
      </c>
      <c r="B14" s="3" t="inlineStr">
        <is>
          <t>表中市值/EV/财务金额沿用数据商的披露精度（多为十亿美元级四舍五入），因此按公式重算的倍数与数据商直报倍数可能存在 &lt;2% 的差异，属正常四舍五入。</t>
        </is>
      </c>
    </row>
    <row r="15" ht="30" customHeight="1">
      <c r="A15" s="14" t="inlineStr">
        <is>
          <t>关键局限性</t>
        </is>
      </c>
      <c r="B15" s="3" t="inlineStr">
        <is>
          <t>① 样本量仅 4 家，分位数统计稳定性弱，尤其 25/75 分位；② 组内离散度极高（EV/收入 4.7x–45.9x），市场对“是否为 AI 受益资产”的定价分歧远大于传统行业；③ NTM 增速为卖方一致预期，对产业叙事变化高度敏感；④ 本表更适合作为相对定位工具，而非绝对估值模型。</t>
        </is>
      </c>
    </row>
    <row r="16" ht="30" customHeight="1">
      <c r="A16" s="14" t="inlineStr">
        <is>
          <t>免责声明</t>
        </is>
      </c>
      <c r="B16" s="3" t="inlineStr">
        <is>
          <t>本文档仅为量化研究用途，不构成任何证券的买卖建议或投资要约。所有结论应结合基本面研究与专业独立判断后使用。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2026-09-28T03:12:16Z</dcterms:created>
  <dcterms:modified xmlns:dcterms="http://purl.org/dc/terms/" xmlns:xsi="http://www.w3.org/2001/XMLSchema-instance" xsi:type="dcterms:W3CDTF">2026-09-28T03:15:48Z</dcterms:modified>
</cp:coreProperties>
</file>